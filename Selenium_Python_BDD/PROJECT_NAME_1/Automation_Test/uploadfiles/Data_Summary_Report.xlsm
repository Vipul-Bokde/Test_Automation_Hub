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akshay.belsare\Downloads\"/>
    </mc:Choice>
  </mc:AlternateContent>
  <bookViews>
    <workbookView xWindow="0" yWindow="0" windowWidth="19200" windowHeight="7450"/>
  </bookViews>
  <sheets>
    <sheet name="January" sheetId="1" r:id="rId1"/>
    <sheet name="Data Summary" sheetId="2" r:id="rId2"/>
  </sheets>
  <calcPr calcId="152511"/>
</workbook>
</file>

<file path=xl/calcChain.xml><?xml version="1.0" encoding="utf-8"?>
<calcChain xmlns="http://schemas.openxmlformats.org/spreadsheetml/2006/main">
  <c r="D45" i="1" l="1"/>
  <c r="D44" i="1"/>
  <c r="E35" i="1"/>
  <c r="D35" i="1"/>
  <c r="E34" i="1"/>
  <c r="E37" i="1" s="1"/>
  <c r="D34" i="1"/>
  <c r="D37" i="1" s="1"/>
  <c r="E23" i="1"/>
  <c r="D23" i="1"/>
  <c r="E22" i="1"/>
  <c r="D22" i="1"/>
  <c r="E21" i="1"/>
  <c r="D21" i="1"/>
  <c r="E20" i="1"/>
  <c r="D20" i="1"/>
  <c r="E19" i="1"/>
  <c r="D19" i="1"/>
  <c r="E18" i="1"/>
  <c r="E25" i="1" s="1"/>
  <c r="D18" i="1"/>
  <c r="D25" i="1" s="1"/>
  <c r="E17" i="1"/>
  <c r="D17" i="1"/>
  <c r="E16" i="1"/>
  <c r="D16" i="1"/>
  <c r="E15" i="1"/>
  <c r="D15" i="1"/>
  <c r="E14" i="1"/>
  <c r="D14" i="1"/>
  <c r="E13" i="1"/>
  <c r="D13" i="1"/>
  <c r="E12" i="1"/>
  <c r="E26" i="1" s="1"/>
  <c r="D12" i="1"/>
  <c r="D26" i="1" s="1"/>
  <c r="D47" i="1" l="1"/>
</calcChain>
</file>

<file path=xl/sharedStrings.xml><?xml version="1.0" encoding="utf-8"?>
<sst xmlns="http://schemas.openxmlformats.org/spreadsheetml/2006/main" count="84" uniqueCount="49">
  <si>
    <t>Invoice Raw</t>
  </si>
  <si>
    <t>ITEM_NUMBER</t>
  </si>
  <si>
    <t>LOOKUP</t>
  </si>
  <si>
    <t>DESCRIPTION</t>
  </si>
  <si>
    <t>TOTAL_GROSS_AMOUNT</t>
  </si>
  <si>
    <t>SHIPPED_QUANTITY</t>
  </si>
  <si>
    <t>TRANS_CODE</t>
  </si>
  <si>
    <t>70428001111</t>
  </si>
  <si>
    <t>cb_chargebacks</t>
  </si>
  <si>
    <t>Qbrexza Inner - CB</t>
  </si>
  <si>
    <t>70428001112</t>
  </si>
  <si>
    <t>Qbrexza - CB</t>
  </si>
  <si>
    <t>chargeback_payments</t>
  </si>
  <si>
    <t>Qbrexza Inner - Chargeback Payments</t>
  </si>
  <si>
    <t>Qbrexza - Chargeback Payments</t>
  </si>
  <si>
    <t>returns</t>
  </si>
  <si>
    <t>Qbrexza Inner - Returns</t>
  </si>
  <si>
    <t>Qbrexza - Returns</t>
  </si>
  <si>
    <t>free_goods</t>
  </si>
  <si>
    <t>Qbrexza Inner - Free Goods</t>
  </si>
  <si>
    <t>Qbrexza - Free Goods</t>
  </si>
  <si>
    <t>adjustments</t>
  </si>
  <si>
    <t>Qbrexza Inner - Adjustments</t>
  </si>
  <si>
    <t>Qbrexza - Adjustments</t>
  </si>
  <si>
    <t>sales</t>
  </si>
  <si>
    <t>Qbrexza Inner - Sale</t>
  </si>
  <si>
    <t>Qbrexza - Sale</t>
  </si>
  <si>
    <t>Eligible Total</t>
  </si>
  <si>
    <t>Grand Total</t>
  </si>
  <si>
    <t>Month End - Finance</t>
  </si>
  <si>
    <t>Variance</t>
  </si>
  <si>
    <t xml:space="preserve"> </t>
  </si>
  <si>
    <t>Chargebacks</t>
  </si>
  <si>
    <t>CHARGEBACK_AMOUNT</t>
  </si>
  <si>
    <t>CHARGEBACK_QUANTITY</t>
  </si>
  <si>
    <t>chargebacks</t>
  </si>
  <si>
    <t>Qbrexza Inner</t>
  </si>
  <si>
    <t>Qbrexza</t>
  </si>
  <si>
    <t>Total</t>
  </si>
  <si>
    <t>Rebates</t>
  </si>
  <si>
    <t>REBATE_AMOUNT</t>
  </si>
  <si>
    <t>rebates</t>
  </si>
  <si>
    <t>Approval</t>
  </si>
  <si>
    <t>Client Approval</t>
  </si>
  <si>
    <t>Name</t>
  </si>
  <si>
    <t>Date</t>
  </si>
  <si>
    <t>Cumberland</t>
  </si>
  <si>
    <t>Horizon Monthly Data Reconciliation</t>
  </si>
  <si>
    <t>January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</si>
</sst>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(&quot;$&quot;* #,##0.00_);_(&quot;$&quot;* \(#,##0.00\);_(&quot;$&quot;* &quot;-&quot;??_);_(@_)"/>
  </numFmts>
  <fonts count="23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0" fontId="2" fillId="0" borderId="0"/>
    <xf numFmtId="0" fontId="14" fillId="0" borderId="0"/>
    <xf numFmtId="44" fontId="2" fillId="0" borderId="0"/>
    <xf numFmtId="43" fontId="2" fillId="0" borderId="0"/>
  </cellStyleXfs>
  <cellXfs count="54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7" fillId="0" borderId="2" xfId="1" applyFont="1" applyBorder="1"/>
    <xf numFmtId="0" fontId="15" fillId="0" borderId="0" xfId="1" applyFont="1"/>
    <xf numFmtId="0" fontId="17" fillId="0" borderId="0" xfId="1" applyFont="1"/>
    <xf numFmtId="0" fontId="17" fillId="0" borderId="2" xfId="1" applyFont="1" applyBorder="1" applyAlignment="1">
      <alignment horizontal="right"/>
    </xf>
    <xf numFmtId="1" fontId="17" fillId="0" borderId="2" xfId="1" applyNumberFormat="1" applyFont="1" applyBorder="1"/>
    <xf numFmtId="49" fontId="2" fillId="0" borderId="0" xfId="1" applyNumberFormat="1"/>
    <xf numFmtId="0" fontId="18" fillId="0" borderId="2" xfId="1" applyFont="1" applyBorder="1" applyAlignment="1">
      <alignment horizontal="right"/>
    </xf>
    <xf numFmtId="43" fontId="2" fillId="0" borderId="2" xfId="1" applyNumberFormat="1" applyBorder="1"/>
    <xf numFmtId="0" fontId="18" fillId="0" borderId="0" xfId="1" applyFont="1" applyAlignment="1">
      <alignment horizontal="right"/>
    </xf>
    <xf numFmtId="43" fontId="2" fillId="0" borderId="0" xfId="1" applyNumberFormat="1"/>
    <xf numFmtId="1" fontId="0" fillId="0" borderId="2" xfId="4" applyNumberFormat="1" applyFont="1" applyBorder="1"/>
    <xf numFmtId="0" fontId="2" fillId="0" borderId="2" xfId="1" applyBorder="1"/>
    <xf numFmtId="1" fontId="15" fillId="0" borderId="2" xfId="4" applyNumberFormat="1" applyFont="1" applyBorder="1"/>
    <xf numFmtId="1" fontId="15" fillId="0" borderId="2" xfId="1" applyNumberFormat="1" applyFont="1" applyBorder="1"/>
    <xf numFmtId="43" fontId="17" fillId="0" borderId="0" xfId="4" applyFont="1"/>
    <xf numFmtId="0" fontId="20" fillId="0" borderId="0" xfId="1" applyFont="1" applyAlignment="1">
      <alignment horizontal="left" indent="1"/>
    </xf>
    <xf numFmtId="0" fontId="2" fillId="0" borderId="0" xfId="1" applyAlignment="1">
      <alignment horizontal="left" indent="1"/>
    </xf>
    <xf numFmtId="0" fontId="2" fillId="0" borderId="3" xfId="1" applyBorder="1" applyAlignment="1">
      <alignment horizontal="left" indent="1"/>
    </xf>
    <xf numFmtId="0" fontId="21" fillId="0" borderId="0" xfId="1" applyFont="1" applyAlignment="1">
      <alignment horizontal="left" indent="1"/>
    </xf>
    <xf numFmtId="14" fontId="2" fillId="0" borderId="3" xfId="1" applyNumberFormat="1" applyBorder="1" applyAlignment="1">
      <alignment horizontal="left" indent="1"/>
    </xf>
    <xf numFmtId="0" fontId="2" fillId="0" borderId="0" xfId="1" applyAlignment="1">
      <alignment horizontal="center"/>
    </xf>
    <xf numFmtId="0" fontId="7" fillId="0" borderId="2" xfId="0" applyFont="1" applyBorder="1"/>
    <xf numFmtId="0" fontId="3" fillId="0" borderId="2" xfId="0" quotePrefix="1" applyFont="1" applyBorder="1"/>
    <xf numFmtId="0" fontId="3" fillId="0" borderId="2" xfId="0" applyFont="1" applyBorder="1"/>
    <xf numFmtId="0" fontId="0" fillId="0" borderId="2" xfId="0" applyBorder="1"/>
    <xf numFmtId="0" fontId="1" fillId="0" borderId="2" xfId="1" applyFont="1" applyBorder="1"/>
    <xf numFmtId="2" fontId="0" fillId="0" borderId="2" xfId="3" applyNumberFormat="1" applyFont="1" applyBorder="1"/>
    <xf numFmtId="0" fontId="22" fillId="0" borderId="2" xfId="1" applyFont="1" applyBorder="1"/>
    <xf numFmtId="0" fontId="2" fillId="0" borderId="0" xfId="1"/>
    <xf numFmtId="49" fontId="16" fillId="0" borderId="0" xfId="1" applyNumberFormat="1" applyFont="1" applyAlignment="1">
      <alignment horizontal="center"/>
    </xf>
    <xf numFmtId="164" fontId="0" fillId="0" borderId="2" xfId="3" applyNumberFormat="1" applyFont="1" applyBorder="1"/>
    <xf numFmtId="164" fontId="17" fillId="0" borderId="2" xfId="1" applyNumberFormat="1" applyFont="1" applyBorder="1"/>
    <xf numFmtId="164" fontId="15" fillId="0" borderId="2" xfId="3" applyNumberFormat="1" applyFont="1" applyBorder="1"/>
    <xf numFmtId="164" fontId="19" fillId="0" borderId="0" xfId="3" applyNumberFormat="1" applyFont="1" applyAlignment="1">
      <alignment horizontal="left" indent="1"/>
    </xf>
    <xf numFmtId="164" fontId="2" fillId="0" borderId="2" xfId="1" applyNumberFormat="1" applyBorder="1"/>
    <xf numFmtId="164" fontId="2" fillId="0" borderId="0" xfId="1" applyNumberFormat="1"/>
    <xf numFmtId="164" fontId="17" fillId="0" borderId="2" xfId="3" applyNumberFormat="1" applyFont="1" applyBorder="1"/>
    <xf numFmtId="0" fontId="16" fillId="0" borderId="0" xfId="1" applyFont="1" applyAlignment="1">
      <alignment horizontal="center"/>
    </xf>
    <xf numFmtId="0" fontId="2" fillId="0" borderId="0" xfId="1"/>
    <xf numFmtId="49" fontId="16" fillId="0" borderId="0" xfId="1" applyNumberFormat="1" applyFont="1" applyAlignment="1">
      <alignment horizontal="center"/>
    </xf>
    <xf numFmtId="49" fontId="16" fillId="0" borderId="1" xfId="1" applyNumberFormat="1" applyFont="1" applyBorder="1" applyAlignment="1">
      <alignment horizontal="center"/>
    </xf>
    <xf numFmtId="0" fontId="0" fillId="0" borderId="1" xfId="0" applyBorder="1"/>
  </cellXfs>
  <cellStyles count="5">
    <cellStyle name="Comma 2" xfId="4"/>
    <cellStyle name="Currency 2" xfId="3"/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0</xdr:row>
      <xdr:rowOff>0</xdr:rowOff>
    </xdr:from>
    <xdr:ext cx="6324600" cy="81915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G61"/>
  <sheetViews>
    <sheetView tabSelected="1" zoomScale="90" zoomScaleNormal="90" workbookViewId="0">
      <selection activeCell="C12" sqref="C12"/>
    </sheetView>
  </sheetViews>
  <sheetFormatPr defaultColWidth="8.81640625" defaultRowHeight="14.5" x14ac:dyDescent="0.35"/>
  <cols>
    <col min="1" max="2" width="16.81640625" style="40" customWidth="1"/>
    <col min="3" max="3" width="43" style="40" bestFit="1" customWidth="1"/>
    <col min="4" max="4" width="34.453125" style="40" customWidth="1"/>
    <col min="5" max="5" width="24.54296875" style="40" customWidth="1"/>
    <col min="6" max="6" width="24.1796875" style="40" bestFit="1" customWidth="1"/>
    <col min="7" max="7" width="15.81640625" style="40" customWidth="1"/>
    <col min="8" max="8" width="13.1796875" style="40" bestFit="1" customWidth="1"/>
    <col min="9" max="9" width="29.1796875" style="40" customWidth="1"/>
    <col min="10" max="10" width="24.54296875" style="40" customWidth="1"/>
    <col min="11" max="11" width="12.54296875" style="40" bestFit="1" customWidth="1"/>
    <col min="12" max="12" width="13.1796875" style="40" bestFit="1" customWidth="1"/>
    <col min="13" max="13" width="25.54296875" style="40" customWidth="1"/>
    <col min="14" max="16" width="8.81640625" style="40" customWidth="1"/>
    <col min="17" max="16384" width="8.81640625" style="40"/>
  </cols>
  <sheetData>
    <row r="6" spans="1:7" ht="21" customHeight="1" x14ac:dyDescent="0.5">
      <c r="A6" s="49" t="s">
        <v>47</v>
      </c>
      <c r="B6" s="50"/>
      <c r="C6" s="50"/>
      <c r="D6" s="50"/>
      <c r="E6" s="50"/>
      <c r="F6" s="50"/>
    </row>
    <row r="7" spans="1:7" ht="21" customHeight="1" x14ac:dyDescent="0.5">
      <c r="A7" s="51" t="s">
        <v>48</v>
      </c>
      <c r="B7" s="50"/>
      <c r="C7" s="50"/>
      <c r="D7" s="50"/>
      <c r="E7" s="50"/>
      <c r="F7" s="50"/>
    </row>
    <row r="8" spans="1:7" x14ac:dyDescent="0.35">
      <c r="A8" s="17"/>
      <c r="B8" s="17"/>
    </row>
    <row r="9" spans="1:7" x14ac:dyDescent="0.35">
      <c r="A9" s="17"/>
      <c r="B9" s="17"/>
    </row>
    <row r="10" spans="1:7" ht="21" customHeight="1" x14ac:dyDescent="0.5">
      <c r="A10" s="52" t="s">
        <v>0</v>
      </c>
      <c r="B10" s="53"/>
      <c r="C10" s="53"/>
      <c r="D10" s="53"/>
      <c r="E10" s="53"/>
      <c r="F10" s="41"/>
    </row>
    <row r="11" spans="1:7" ht="15.65" customHeight="1" x14ac:dyDescent="0.35">
      <c r="A11" s="12" t="s">
        <v>1</v>
      </c>
      <c r="B11" s="12" t="s">
        <v>2</v>
      </c>
      <c r="C11" s="12" t="s">
        <v>3</v>
      </c>
      <c r="D11" s="12" t="s">
        <v>4</v>
      </c>
      <c r="E11" s="12" t="s">
        <v>5</v>
      </c>
      <c r="F11" s="12" t="s">
        <v>6</v>
      </c>
    </row>
    <row r="12" spans="1:7" ht="15.65" customHeight="1" x14ac:dyDescent="0.35">
      <c r="A12" s="33" t="s">
        <v>7</v>
      </c>
      <c r="B12" s="36" t="s">
        <v>8</v>
      </c>
      <c r="C12" s="37" t="s">
        <v>9</v>
      </c>
      <c r="D12" s="42">
        <f>SUMPRODUCT(--('Data Summary'!E:E=$A12), -- ('Data Summary'!C:C=$B12), 'Data Summary'!J:J)</f>
        <v>0</v>
      </c>
      <c r="E12" s="38">
        <f>SUMPRODUCT( -- ($A12='Data Summary'!F:F), -- ($B12='Data Summary'!D:D), 'Data Summary'!H:H)</f>
        <v>0</v>
      </c>
      <c r="F12" s="12"/>
      <c r="G12" s="13"/>
    </row>
    <row r="13" spans="1:7" ht="15.65" customHeight="1" x14ac:dyDescent="0.35">
      <c r="A13" s="33" t="s">
        <v>10</v>
      </c>
      <c r="B13" s="36" t="s">
        <v>8</v>
      </c>
      <c r="C13" s="37" t="s">
        <v>11</v>
      </c>
      <c r="D13" s="42">
        <f>SUMPRODUCT(--('Data Summary'!E:E=$A13), -- ('Data Summary'!C:C=$B13), 'Data Summary'!J:J)</f>
        <v>0</v>
      </c>
      <c r="E13" s="38">
        <f>SUMPRODUCT( -- ('Data Summary'!E:E=$A13), -- ('Data Summary'!C:C=$B13), 'Data Summary'!H:H)</f>
        <v>0</v>
      </c>
      <c r="F13" s="12"/>
    </row>
    <row r="14" spans="1:7" ht="15.65" customHeight="1" x14ac:dyDescent="0.35">
      <c r="A14" s="33" t="s">
        <v>7</v>
      </c>
      <c r="B14" s="36" t="s">
        <v>12</v>
      </c>
      <c r="C14" s="37" t="s">
        <v>13</v>
      </c>
      <c r="D14" s="42">
        <f>SUMPRODUCT(--('Data Summary'!E:E=$A14), -- ('Data Summary'!C:C=$B14), 'Data Summary'!J:J)</f>
        <v>0</v>
      </c>
      <c r="E14" s="38">
        <f>SUMPRODUCT( -- ('Data Summary'!E:E=$A14), -- ('Data Summary'!C:C=$B14), 'Data Summary'!H:H)</f>
        <v>0</v>
      </c>
      <c r="F14" s="12"/>
    </row>
    <row r="15" spans="1:7" ht="15.65" customHeight="1" x14ac:dyDescent="0.35">
      <c r="A15" s="33" t="s">
        <v>10</v>
      </c>
      <c r="B15" s="36" t="s">
        <v>12</v>
      </c>
      <c r="C15" s="37" t="s">
        <v>14</v>
      </c>
      <c r="D15" s="42">
        <f>SUMPRODUCT(--('Data Summary'!E:E=$A15), -- ('Data Summary'!C:C=$B15), 'Data Summary'!J:J)</f>
        <v>0</v>
      </c>
      <c r="E15" s="38">
        <f>SUMPRODUCT( -- ('Data Summary'!E:E=$A15), -- ('Data Summary'!C:C=$B15), 'Data Summary'!H:H)</f>
        <v>0</v>
      </c>
      <c r="F15" s="12"/>
    </row>
    <row r="16" spans="1:7" ht="15.65" customHeight="1" x14ac:dyDescent="0.35">
      <c r="A16" s="34" t="s">
        <v>7</v>
      </c>
      <c r="B16" s="36" t="s">
        <v>15</v>
      </c>
      <c r="C16" s="37" t="s">
        <v>16</v>
      </c>
      <c r="D16" s="42">
        <f>SUMPRODUCT(--('Data Summary'!E:E=$A16), -- ('Data Summary'!C:C=$B16), 'Data Summary'!J:J)</f>
        <v>0</v>
      </c>
      <c r="E16" s="38">
        <f>SUMPRODUCT( -- ('Data Summary'!E:E=$A16), -- ('Data Summary'!C:C=$B16), 'Data Summary'!H:H)</f>
        <v>0</v>
      </c>
      <c r="F16" s="12"/>
      <c r="G16" s="13"/>
    </row>
    <row r="17" spans="1:7" ht="15.65" customHeight="1" x14ac:dyDescent="0.35">
      <c r="A17" s="33" t="s">
        <v>10</v>
      </c>
      <c r="B17" s="35" t="s">
        <v>15</v>
      </c>
      <c r="C17" s="37" t="s">
        <v>17</v>
      </c>
      <c r="D17" s="42">
        <f>SUMPRODUCT(--('Data Summary'!E:E=$A17), -- ('Data Summary'!C:C=$B17), 'Data Summary'!J:J)</f>
        <v>0</v>
      </c>
      <c r="E17" s="38">
        <f>SUMPRODUCT( -- ('Data Summary'!E:E=$A17), -- ('Data Summary'!C:C=$B17), 'Data Summary'!H:H)</f>
        <v>0</v>
      </c>
      <c r="F17" s="12"/>
    </row>
    <row r="18" spans="1:7" ht="15.65" customHeight="1" x14ac:dyDescent="0.35">
      <c r="A18" s="34" t="s">
        <v>7</v>
      </c>
      <c r="B18" s="35" t="s">
        <v>18</v>
      </c>
      <c r="C18" s="37" t="s">
        <v>19</v>
      </c>
      <c r="D18" s="42">
        <f>SUMPRODUCT(--('Data Summary'!E:E=$A18), -- ('Data Summary'!C:C=$B18), 'Data Summary'!J:J)</f>
        <v>0</v>
      </c>
      <c r="E18" s="38">
        <f>SUMPRODUCT( -- ('Data Summary'!E:E=$A18), -- ('Data Summary'!C:C=$B18), 'Data Summary'!H:H)</f>
        <v>0</v>
      </c>
      <c r="F18" s="12"/>
    </row>
    <row r="19" spans="1:7" ht="15.65" customHeight="1" x14ac:dyDescent="0.35">
      <c r="A19" s="33" t="s">
        <v>10</v>
      </c>
      <c r="B19" s="35" t="s">
        <v>18</v>
      </c>
      <c r="C19" s="37" t="s">
        <v>20</v>
      </c>
      <c r="D19" s="42">
        <f>SUMPRODUCT(--('Data Summary'!E:E=$A19), -- ('Data Summary'!C:C=$B19), 'Data Summary'!J:J)</f>
        <v>0</v>
      </c>
      <c r="E19" s="38">
        <f>SUMPRODUCT( -- ('Data Summary'!E:E=$A19), -- ('Data Summary'!C:C=$B19), 'Data Summary'!H:H)</f>
        <v>0</v>
      </c>
      <c r="F19" s="12"/>
    </row>
    <row r="20" spans="1:7" ht="15.65" customHeight="1" x14ac:dyDescent="0.35">
      <c r="A20" s="34" t="s">
        <v>7</v>
      </c>
      <c r="B20" s="35" t="s">
        <v>21</v>
      </c>
      <c r="C20" s="37" t="s">
        <v>22</v>
      </c>
      <c r="D20" s="42">
        <f>SUMPRODUCT(--('Data Summary'!E:E=$A20), -- ('Data Summary'!C:C=$B20), 'Data Summary'!J:J)</f>
        <v>0</v>
      </c>
      <c r="E20" s="38">
        <f>SUMPRODUCT( -- ('Data Summary'!E:E=$A20), -- ('Data Summary'!C:C=$B20), 'Data Summary'!H:H)</f>
        <v>0</v>
      </c>
      <c r="F20" s="12"/>
    </row>
    <row r="21" spans="1:7" ht="15.65" customHeight="1" x14ac:dyDescent="0.35">
      <c r="A21" s="33" t="s">
        <v>10</v>
      </c>
      <c r="B21" s="35" t="s">
        <v>21</v>
      </c>
      <c r="C21" s="37" t="s">
        <v>23</v>
      </c>
      <c r="D21" s="42">
        <f>SUMPRODUCT(--('Data Summary'!E:E=$A21), -- ('Data Summary'!C:C=$B21), 'Data Summary'!J:J)</f>
        <v>0</v>
      </c>
      <c r="E21" s="38">
        <f>SUMPRODUCT( -- ('Data Summary'!E:E=$A21), -- ('Data Summary'!C:C=$B21), 'Data Summary'!H:H)</f>
        <v>0</v>
      </c>
      <c r="F21" s="12"/>
    </row>
    <row r="22" spans="1:7" x14ac:dyDescent="0.35">
      <c r="A22" s="33" t="s">
        <v>7</v>
      </c>
      <c r="B22" s="35" t="s">
        <v>24</v>
      </c>
      <c r="C22" s="37" t="s">
        <v>25</v>
      </c>
      <c r="D22" s="42">
        <f>SUMPRODUCT(--('Data Summary'!E:E=$A22), -- ('Data Summary'!C:C=$B22), 'Data Summary'!J:J)</f>
        <v>0</v>
      </c>
      <c r="E22" s="38">
        <f>SUMPRODUCT( -- ('Data Summary'!E:E=$A22), -- ('Data Summary'!C:C=$B22), 'Data Summary'!H:H)</f>
        <v>0</v>
      </c>
      <c r="F22" s="23"/>
      <c r="G22" s="13"/>
    </row>
    <row r="23" spans="1:7" ht="15.65" customHeight="1" x14ac:dyDescent="0.35">
      <c r="A23" s="33" t="s">
        <v>10</v>
      </c>
      <c r="B23" s="35" t="s">
        <v>24</v>
      </c>
      <c r="C23" s="37" t="s">
        <v>26</v>
      </c>
      <c r="D23" s="42">
        <f>SUMPRODUCT(--('Data Summary'!E:E=$A23), -- ('Data Summary'!C:C=$B23), 'Data Summary'!J:J)</f>
        <v>0</v>
      </c>
      <c r="E23" s="38">
        <f>SUMPRODUCT( -- ('Data Summary'!E:E=$A23), -- ('Data Summary'!C:C=$B23), 'Data Summary'!H:H)</f>
        <v>0</v>
      </c>
      <c r="F23" s="12"/>
    </row>
    <row r="24" spans="1:7" ht="14.75" customHeight="1" x14ac:dyDescent="0.35">
      <c r="A24" s="23"/>
      <c r="B24" s="23"/>
      <c r="C24" s="42"/>
      <c r="D24" s="42"/>
      <c r="E24" s="23"/>
      <c r="F24" s="14"/>
    </row>
    <row r="25" spans="1:7" ht="15.65" customHeight="1" x14ac:dyDescent="0.35">
      <c r="A25" s="23"/>
      <c r="B25" s="23"/>
      <c r="C25" s="15" t="s">
        <v>27</v>
      </c>
      <c r="D25" s="43">
        <f>SUM(D18:D23)</f>
        <v>0</v>
      </c>
      <c r="E25" s="16">
        <f>SUM(E18:E23)</f>
        <v>0</v>
      </c>
    </row>
    <row r="26" spans="1:7" ht="15.65" customHeight="1" x14ac:dyDescent="0.35">
      <c r="A26" s="23"/>
      <c r="B26" s="23"/>
      <c r="C26" s="15" t="s">
        <v>28</v>
      </c>
      <c r="D26" s="43">
        <f>SUM(D12:D23)</f>
        <v>0</v>
      </c>
      <c r="E26" s="16">
        <f>SUM(E12:E23)</f>
        <v>0</v>
      </c>
    </row>
    <row r="27" spans="1:7" x14ac:dyDescent="0.35">
      <c r="A27" s="17"/>
      <c r="B27" s="17"/>
      <c r="C27" s="18" t="s">
        <v>29</v>
      </c>
      <c r="D27" s="44"/>
      <c r="E27" s="23"/>
      <c r="F27" s="45"/>
    </row>
    <row r="28" spans="1:7" x14ac:dyDescent="0.35">
      <c r="A28" s="17"/>
      <c r="B28" s="17"/>
      <c r="C28" s="18" t="s">
        <v>30</v>
      </c>
      <c r="D28" s="46"/>
      <c r="E28" s="19"/>
      <c r="F28" s="45" t="s">
        <v>31</v>
      </c>
    </row>
    <row r="29" spans="1:7" x14ac:dyDescent="0.35">
      <c r="A29" s="17"/>
      <c r="B29" s="17"/>
      <c r="C29" s="20"/>
      <c r="D29" s="47"/>
      <c r="E29" s="47"/>
      <c r="F29" s="21"/>
      <c r="G29" s="45"/>
    </row>
    <row r="30" spans="1:7" x14ac:dyDescent="0.35">
      <c r="A30" s="17"/>
      <c r="B30" s="17"/>
      <c r="C30" s="20"/>
      <c r="D30" s="47"/>
      <c r="E30" s="47"/>
      <c r="F30" s="21"/>
      <c r="G30" s="45"/>
    </row>
    <row r="31" spans="1:7" x14ac:dyDescent="0.35">
      <c r="A31" s="17"/>
      <c r="B31" s="17"/>
    </row>
    <row r="32" spans="1:7" ht="21" customHeight="1" x14ac:dyDescent="0.5">
      <c r="A32" s="51" t="s">
        <v>32</v>
      </c>
      <c r="B32" s="50"/>
      <c r="C32" s="50"/>
      <c r="D32" s="50"/>
      <c r="E32" s="50"/>
    </row>
    <row r="33" spans="1:6" ht="15.65" customHeight="1" x14ac:dyDescent="0.35">
      <c r="A33" s="12" t="s">
        <v>1</v>
      </c>
      <c r="B33" s="12"/>
      <c r="C33" s="12" t="s">
        <v>3</v>
      </c>
      <c r="D33" s="12" t="s">
        <v>33</v>
      </c>
      <c r="E33" s="12" t="s">
        <v>34</v>
      </c>
      <c r="F33" s="14"/>
    </row>
    <row r="34" spans="1:6" ht="15.65" customHeight="1" x14ac:dyDescent="0.35">
      <c r="A34" s="33" t="s">
        <v>7</v>
      </c>
      <c r="B34" s="39" t="s">
        <v>35</v>
      </c>
      <c r="C34" s="39" t="s">
        <v>36</v>
      </c>
      <c r="D34" s="42">
        <f>SUMPRODUCT(--('Data Summary'!E:E=$A34),--('Data Summary'!C:C=$B34), 'Data Summary'!J:J)</f>
        <v>0</v>
      </c>
      <c r="E34" s="38">
        <f>SUMPRODUCT( -- ('Data Summary'!E:E=$A34), -- ('Data Summary'!C:C=$B34), 'Data Summary'!H:H)</f>
        <v>0</v>
      </c>
      <c r="F34" s="14"/>
    </row>
    <row r="35" spans="1:6" ht="15.65" customHeight="1" x14ac:dyDescent="0.35">
      <c r="A35" s="33" t="s">
        <v>10</v>
      </c>
      <c r="B35" t="s">
        <v>35</v>
      </c>
      <c r="C35" s="37" t="s">
        <v>37</v>
      </c>
      <c r="D35" s="42">
        <f>SUMPRODUCT(--('Data Summary'!E:E=$A35),--('Data Summary'!C:C=$B35), 'Data Summary'!J:J)</f>
        <v>0</v>
      </c>
      <c r="E35" s="38">
        <f>SUMPRODUCT( -- ('Data Summary'!E:E=$A35), -- ('Data Summary'!C:C=$B35), 'Data Summary'!H:H)</f>
        <v>0</v>
      </c>
      <c r="F35" s="14"/>
    </row>
    <row r="36" spans="1:6" ht="15.65" customHeight="1" x14ac:dyDescent="0.35">
      <c r="A36" s="23"/>
      <c r="B36" s="23"/>
      <c r="C36" s="23"/>
      <c r="D36" s="42"/>
      <c r="E36" s="22"/>
      <c r="F36" s="14"/>
    </row>
    <row r="37" spans="1:6" ht="15.65" customHeight="1" x14ac:dyDescent="0.35">
      <c r="A37" s="23"/>
      <c r="B37" s="23"/>
      <c r="C37" s="15" t="s">
        <v>38</v>
      </c>
      <c r="D37" s="44">
        <f>SUM(D34:D35)</f>
        <v>0</v>
      </c>
      <c r="E37" s="24">
        <f>SUM(E34:E35)</f>
        <v>0</v>
      </c>
      <c r="F37" s="14"/>
    </row>
    <row r="38" spans="1:6" ht="15.65" customHeight="1" x14ac:dyDescent="0.35">
      <c r="A38" s="17"/>
      <c r="B38" s="17"/>
      <c r="C38" s="18" t="s">
        <v>29</v>
      </c>
      <c r="D38" s="44"/>
      <c r="E38" s="25"/>
      <c r="F38" s="14"/>
    </row>
    <row r="39" spans="1:6" ht="15.65" customHeight="1" x14ac:dyDescent="0.35">
      <c r="A39" s="17"/>
      <c r="B39" s="17"/>
      <c r="C39" s="18" t="s">
        <v>30</v>
      </c>
      <c r="D39" s="46"/>
      <c r="E39" s="19"/>
      <c r="F39" s="14"/>
    </row>
    <row r="40" spans="1:6" x14ac:dyDescent="0.35">
      <c r="A40" s="17"/>
      <c r="B40" s="17"/>
      <c r="C40" s="20"/>
      <c r="D40" s="47"/>
      <c r="E40" s="21"/>
    </row>
    <row r="41" spans="1:6" x14ac:dyDescent="0.35">
      <c r="A41" s="17"/>
      <c r="B41" s="17"/>
    </row>
    <row r="42" spans="1:6" ht="21" customHeight="1" x14ac:dyDescent="0.5">
      <c r="A42" s="52" t="s">
        <v>39</v>
      </c>
      <c r="B42" s="53"/>
      <c r="C42" s="53"/>
      <c r="D42" s="53"/>
      <c r="E42" s="41"/>
    </row>
    <row r="43" spans="1:6" ht="15.65" customHeight="1" x14ac:dyDescent="0.35">
      <c r="A43" s="12" t="s">
        <v>1</v>
      </c>
      <c r="B43" s="12"/>
      <c r="C43" s="12" t="s">
        <v>3</v>
      </c>
      <c r="D43" s="12" t="s">
        <v>40</v>
      </c>
    </row>
    <row r="44" spans="1:6" ht="15.65" customHeight="1" x14ac:dyDescent="0.35">
      <c r="A44" s="33" t="s">
        <v>7</v>
      </c>
      <c r="B44" s="36" t="s">
        <v>41</v>
      </c>
      <c r="C44" s="39" t="s">
        <v>36</v>
      </c>
      <c r="D44" s="42">
        <f>SUMPRODUCT(--('Data Summary'!E:E=$A44),--('Data Summary'!C:C=$B44), 'Data Summary'!J:J)</f>
        <v>0</v>
      </c>
    </row>
    <row r="45" spans="1:6" x14ac:dyDescent="0.35">
      <c r="A45" s="33" t="s">
        <v>10</v>
      </c>
      <c r="B45" s="36" t="s">
        <v>41</v>
      </c>
      <c r="C45" s="37" t="s">
        <v>37</v>
      </c>
      <c r="D45" s="42">
        <f>SUMPRODUCT(--('Data Summary'!E:E=$A45),--('Data Summary'!C:C=$B45), 'Data Summary'!J:J)</f>
        <v>0</v>
      </c>
    </row>
    <row r="46" spans="1:6" x14ac:dyDescent="0.35">
      <c r="A46" s="23"/>
      <c r="B46" s="23"/>
      <c r="C46" s="23"/>
      <c r="D46" s="42"/>
    </row>
    <row r="47" spans="1:6" ht="15.65" customHeight="1" x14ac:dyDescent="0.35">
      <c r="A47" s="23"/>
      <c r="B47" s="23"/>
      <c r="C47" s="15" t="s">
        <v>38</v>
      </c>
      <c r="D47" s="48">
        <f>SUM(D44:D45)</f>
        <v>0</v>
      </c>
    </row>
    <row r="48" spans="1:6" x14ac:dyDescent="0.35">
      <c r="A48" s="17"/>
      <c r="B48" s="17"/>
      <c r="C48" s="18" t="s">
        <v>29</v>
      </c>
      <c r="D48" s="44"/>
    </row>
    <row r="49" spans="1:5" x14ac:dyDescent="0.35">
      <c r="A49" s="17"/>
      <c r="B49" s="17"/>
      <c r="C49" s="18" t="s">
        <v>30</v>
      </c>
      <c r="D49" s="46"/>
    </row>
    <row r="50" spans="1:5" x14ac:dyDescent="0.35">
      <c r="A50" s="17"/>
      <c r="B50" s="17"/>
      <c r="C50" s="20"/>
      <c r="D50" s="47"/>
    </row>
    <row r="51" spans="1:5" x14ac:dyDescent="0.35">
      <c r="A51" s="17"/>
      <c r="B51" s="17"/>
      <c r="C51" s="20"/>
      <c r="D51" s="47"/>
    </row>
    <row r="52" spans="1:5" ht="15.65" customHeight="1" x14ac:dyDescent="0.35">
      <c r="A52" s="17"/>
      <c r="B52" s="17"/>
      <c r="C52" s="17"/>
      <c r="D52" s="26"/>
    </row>
    <row r="53" spans="1:5" x14ac:dyDescent="0.35">
      <c r="A53" s="17"/>
      <c r="B53" s="17"/>
      <c r="C53" s="17"/>
    </row>
    <row r="54" spans="1:5" x14ac:dyDescent="0.35">
      <c r="A54" s="27" t="s">
        <v>42</v>
      </c>
      <c r="B54" s="27"/>
    </row>
    <row r="55" spans="1:5" x14ac:dyDescent="0.35">
      <c r="A55" s="28"/>
      <c r="B55" s="28"/>
      <c r="C55" s="27" t="s">
        <v>43</v>
      </c>
      <c r="D55" s="29"/>
      <c r="E55" s="31"/>
    </row>
    <row r="56" spans="1:5" x14ac:dyDescent="0.35">
      <c r="A56" s="28"/>
      <c r="B56" s="28"/>
      <c r="C56" s="28"/>
      <c r="D56" s="30" t="s">
        <v>44</v>
      </c>
      <c r="E56" s="30" t="s">
        <v>45</v>
      </c>
    </row>
    <row r="57" spans="1:5" x14ac:dyDescent="0.35">
      <c r="A57" s="28"/>
      <c r="B57" s="28"/>
      <c r="C57" s="28"/>
      <c r="D57" s="28"/>
      <c r="E57" s="28"/>
    </row>
    <row r="58" spans="1:5" x14ac:dyDescent="0.35">
      <c r="A58" s="28"/>
      <c r="B58" s="28"/>
      <c r="C58" s="28"/>
      <c r="D58" s="28"/>
      <c r="E58" s="28"/>
    </row>
    <row r="59" spans="1:5" x14ac:dyDescent="0.35">
      <c r="A59" s="28"/>
      <c r="B59" s="28"/>
      <c r="C59" s="27" t="s">
        <v>46</v>
      </c>
      <c r="D59" s="29"/>
      <c r="E59" s="31"/>
    </row>
    <row r="60" spans="1:5" x14ac:dyDescent="0.35">
      <c r="A60" s="28"/>
      <c r="B60" s="28"/>
      <c r="C60" s="28"/>
      <c r="D60" s="30" t="s">
        <v>44</v>
      </c>
      <c r="E60" s="30" t="s">
        <v>45</v>
      </c>
    </row>
    <row r="61" spans="1:5" x14ac:dyDescent="0.35">
      <c r="A61" s="32"/>
      <c r="B61" s="32"/>
    </row>
  </sheetData>
  <mergeCells count="5">
    <mergeCell ref="A6:F6"/>
    <mergeCell ref="A7:F7"/>
    <mergeCell ref="A10:E10"/>
    <mergeCell ref="A32:E32"/>
    <mergeCell ref="A42:D42"/>
  </mergeCells>
  <pageMargins left="0.75" right="0.75" top="1" bottom="1" header="0.5" footer="0.5"/>
  <pageSetup orientation="landscape" horizontalDpi="429496729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"/>
  <sheetViews>
    <sheetView workbookViewId="0">
      <selection sqref="A1:XFD1048576"/>
    </sheetView>
  </sheetViews>
  <sheetFormatPr defaultRowHeight="14.5" x14ac:dyDescent="0.35"/>
  <cols>
    <col min="1" max="1" width="16.08984375" bestFit="1" customWidth="1"/>
    <col min="2" max="2" width="8.36328125" bestFit="1" customWidth="1"/>
    <col min="3" max="3" width="20.54296875" bestFit="1" customWidth="1"/>
    <col min="4" max="4" width="11.36328125" bestFit="1" customWidth="1"/>
    <col min="5" max="5" width="13.1796875" bestFit="1" customWidth="1"/>
    <col min="6" max="6" width="14.81640625" bestFit="1" customWidth="1"/>
    <col min="7" max="7" width="8.54296875" bestFit="1" customWidth="1"/>
    <col min="8" max="8" width="7.08984375" bestFit="1" customWidth="1"/>
    <col min="9" max="9" width="7.6328125" bestFit="1" customWidth="1"/>
    <col min="10" max="10" width="9.36328125" bestFit="1" customWidth="1"/>
    <col min="11" max="11" width="5.453125" bestFit="1" customWidth="1"/>
  </cols>
  <sheetData>
    <row r="1" spans="1:11" x14ac:dyDescent="0.35">
      <c r="A1" s="1"/>
      <c r="B1" s="2"/>
      <c r="C1" s="3"/>
      <c r="D1" s="4"/>
      <c r="E1" s="5"/>
      <c r="F1" s="6"/>
      <c r="G1" s="7"/>
      <c r="H1" s="8"/>
      <c r="I1" s="9"/>
      <c r="J1" s="10"/>
      <c r="K1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January</vt:lpstr>
      <vt:lpstr>Data Summary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Akshay Belsare</cp:lastModifiedBy>
  <dcterms:created xsi:type="dcterms:W3CDTF">2019-10-09T17:11:15Z</dcterms:created>
  <dcterms:modified xsi:type="dcterms:W3CDTF">2022-02-15T08:34:29Z</dcterms:modified>
</cp:coreProperties>
</file>